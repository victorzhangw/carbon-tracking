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排放係數對照表" sheetId="1" state="visible" r:id="rId1"/>
    <sheet name="2.訪視頻率統計" sheetId="2" state="visible" r:id="rId2"/>
    <sheet name="3.里程減少計算" sheetId="3" state="visible" r:id="rId3"/>
    <sheet name="4.碳排放計算" sheetId="4" state="visible" r:id="rId4"/>
    <sheet name="5.月度統計" sheetId="5" state="visible" r:id="rId5"/>
    <sheet name="6.區域別統計" sheetId="6" state="visible" r:id="rId6"/>
    <sheet name="7.數據來源彙總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9" fontId="0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4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15" customWidth="1" min="4" max="4"/>
    <col width="20" customWidth="1" min="5" max="5"/>
    <col width="25" customWidth="1" min="6" max="6"/>
  </cols>
  <sheetData>
    <row r="1">
      <c r="A1" s="1" t="inlineStr">
        <is>
          <t>溫室氣體排放係數對照表</t>
        </is>
      </c>
    </row>
    <row r="2">
      <c r="A2" s="2" t="inlineStr">
        <is>
          <t>數據來源：行政院環保署「溫室氣體排放係數管理表6.0.4版」</t>
        </is>
      </c>
    </row>
    <row r="4">
      <c r="A4" s="3" t="inlineStr">
        <is>
          <t>交通工具類型</t>
        </is>
      </c>
      <c r="B4" s="3" t="inlineStr">
        <is>
          <t>排放係數
(kg CO2e/km)</t>
        </is>
      </c>
      <c r="C4" s="3" t="inlineStr">
        <is>
          <t>使用比例</t>
        </is>
      </c>
      <c r="D4" s="3" t="inlineStr">
        <is>
          <t>加權係數
(kg CO2e/km)</t>
        </is>
      </c>
      <c r="E4" s="3" t="inlineStr">
        <is>
          <t>數據來源</t>
        </is>
      </c>
      <c r="F4" s="3" t="inlineStr">
        <is>
          <t>備註</t>
        </is>
      </c>
    </row>
    <row r="5">
      <c r="A5" s="4" t="inlineStr">
        <is>
          <t>機車</t>
        </is>
      </c>
      <c r="B5" s="5" t="n">
        <v>0.06950000000000001</v>
      </c>
      <c r="C5" s="4" t="inlineStr">
        <is>
          <t>65%</t>
        </is>
      </c>
      <c r="D5" s="5">
        <f>B5*C5</f>
        <v/>
      </c>
      <c r="E5" s="4" t="inlineStr">
        <is>
          <t>環保署排放係數表</t>
        </is>
      </c>
      <c r="F5" s="4" t="inlineStr">
        <is>
          <t>125cc機車平均值</t>
        </is>
      </c>
    </row>
    <row r="6">
      <c r="A6" s="4" t="inlineStr">
        <is>
          <t>汽車</t>
        </is>
      </c>
      <c r="B6" s="5" t="n">
        <v>0.185</v>
      </c>
      <c r="C6" s="4" t="inlineStr">
        <is>
          <t>30%</t>
        </is>
      </c>
      <c r="D6" s="5">
        <f>B6*C6</f>
        <v/>
      </c>
      <c r="E6" s="4" t="inlineStr">
        <is>
          <t>環保署排放係數表</t>
        </is>
      </c>
      <c r="F6" s="4" t="inlineStr">
        <is>
          <t>1600cc汽車平均值</t>
        </is>
      </c>
    </row>
    <row r="7">
      <c r="A7" s="4" t="inlineStr">
        <is>
          <t>大眾運輸</t>
        </is>
      </c>
      <c r="B7" s="5" t="n">
        <v>0.0295</v>
      </c>
      <c r="C7" s="4" t="inlineStr">
        <is>
          <t>5%</t>
        </is>
      </c>
      <c r="D7" s="5">
        <f>B7*C7</f>
        <v/>
      </c>
      <c r="E7" s="4" t="inlineStr">
        <is>
          <t>環保署排放係數表</t>
        </is>
      </c>
      <c r="F7" s="4" t="inlineStr">
        <is>
          <t>公車/捷運平均值</t>
        </is>
      </c>
    </row>
    <row r="8">
      <c r="A8" s="4" t="inlineStr"/>
      <c r="B8" s="5" t="inlineStr"/>
      <c r="C8" s="4" t="inlineStr"/>
      <c r="D8" s="5" t="inlineStr"/>
      <c r="E8" s="4" t="inlineStr"/>
      <c r="F8" s="4" t="inlineStr"/>
    </row>
    <row r="9">
      <c r="A9" s="6" t="inlineStr">
        <is>
          <t>加權平均排放係數</t>
        </is>
      </c>
      <c r="B9" s="7" t="inlineStr"/>
      <c r="C9" s="6" t="inlineStr"/>
      <c r="D9" s="7">
        <f>SUM(D5:D7)</f>
        <v/>
      </c>
      <c r="E9" s="6" t="inlineStr"/>
      <c r="F9" s="6" t="inlineStr">
        <is>
          <t>綜合排放係數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AI關懷系統導入前後訪視頻率對比表</t>
        </is>
      </c>
    </row>
    <row r="2">
      <c r="A2" s="2" t="inlineStr">
        <is>
          <t>統計期間：2024年1月-6月（試營運期間）</t>
        </is>
      </c>
    </row>
    <row r="4">
      <c r="A4" s="3" t="inlineStr">
        <is>
          <t>項目</t>
        </is>
      </c>
      <c r="B4" s="3" t="inlineStr">
        <is>
          <t>導入前
(次/月/人)</t>
        </is>
      </c>
      <c r="C4" s="3" t="inlineStr">
        <is>
          <t>導入後
(次/月/人)</t>
        </is>
      </c>
      <c r="D4" s="3" t="inlineStr">
        <is>
          <t>減少次數
(次/月/人)</t>
        </is>
      </c>
      <c r="E4" s="3" t="inlineStr">
        <is>
          <t>減少比例</t>
        </is>
      </c>
      <c r="F4" s="3" t="inlineStr">
        <is>
          <t>受惠人數</t>
        </is>
      </c>
      <c r="G4" s="3" t="inlineStr">
        <is>
          <t>總減少次數
(次/月)</t>
        </is>
      </c>
    </row>
    <row r="5">
      <c r="A5" s="4" t="inlineStr">
        <is>
          <t>實地訪視</t>
        </is>
      </c>
      <c r="B5" s="5" t="n">
        <v>4</v>
      </c>
      <c r="C5" s="5" t="n">
        <v>2</v>
      </c>
      <c r="D5" s="5">
        <f>B5-C5</f>
        <v/>
      </c>
      <c r="E5" s="8">
        <f>D5/B5</f>
        <v/>
      </c>
      <c r="F5" s="5" t="n">
        <v>3300</v>
      </c>
      <c r="G5" s="5">
        <f>D5*F5</f>
        <v/>
      </c>
    </row>
    <row r="6">
      <c r="A6" s="4" t="inlineStr">
        <is>
          <t>電話關懷</t>
        </is>
      </c>
      <c r="B6" s="5" t="n">
        <v>2</v>
      </c>
      <c r="C6" s="5" t="n">
        <v>2</v>
      </c>
      <c r="D6" s="5" t="n">
        <v>0</v>
      </c>
      <c r="E6" s="4" t="inlineStr">
        <is>
          <t>0%</t>
        </is>
      </c>
      <c r="F6" s="5" t="n">
        <v>3300</v>
      </c>
      <c r="G6" s="5" t="n">
        <v>0</v>
      </c>
    </row>
    <row r="7">
      <c r="A7" s="4" t="inlineStr">
        <is>
          <t>AI智能關懷</t>
        </is>
      </c>
      <c r="B7" s="5" t="n">
        <v>0</v>
      </c>
      <c r="C7" s="5" t="n">
        <v>4</v>
      </c>
      <c r="D7" s="5" t="n">
        <v>4</v>
      </c>
      <c r="E7" s="4" t="inlineStr">
        <is>
          <t>-</t>
        </is>
      </c>
      <c r="F7" s="5" t="n">
        <v>3300</v>
      </c>
      <c r="G7" s="5">
        <f>D7*F7</f>
        <v/>
      </c>
    </row>
    <row r="9">
      <c r="A9" s="9" t="inlineStr">
        <is>
          <t>每月總減少訪視次數</t>
        </is>
      </c>
      <c r="G9" s="10">
        <f>G5</f>
        <v/>
      </c>
    </row>
    <row r="10">
      <c r="A10" s="9" t="inlineStr">
        <is>
          <t>試營運期間總減少次數（6個月）</t>
        </is>
      </c>
      <c r="G10" s="10">
        <f>G9*6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25" customWidth="1" min="4" max="4"/>
    <col width="30" customWidth="1" min="5" max="5"/>
  </cols>
  <sheetData>
    <row r="1">
      <c r="A1" s="1" t="inlineStr">
        <is>
          <t>交通里程減少詳細計算表</t>
        </is>
      </c>
    </row>
    <row r="3">
      <c r="A3" s="3" t="inlineStr">
        <is>
          <t>計算項目</t>
        </is>
      </c>
      <c r="B3" s="3" t="inlineStr">
        <is>
          <t>數值</t>
        </is>
      </c>
      <c r="C3" s="3" t="inlineStr">
        <is>
          <t>單位</t>
        </is>
      </c>
      <c r="D3" s="3" t="inlineStr">
        <is>
          <t>計算公式</t>
        </is>
      </c>
      <c r="E3" s="3" t="inlineStr">
        <is>
          <t>說明</t>
        </is>
      </c>
    </row>
    <row r="4">
      <c r="A4" s="4" t="inlineStr">
        <is>
          <t>平均單次訪視距離（來回）</t>
        </is>
      </c>
      <c r="B4" s="5" t="n">
        <v>15</v>
      </c>
      <c r="C4" s="4" t="inlineStr">
        <is>
          <t>公里</t>
        </is>
      </c>
      <c r="D4" s="4" t="inlineStr">
        <is>
          <t>城鄉加權平均</t>
        </is>
      </c>
      <c r="E4" s="4" t="inlineStr">
        <is>
          <t>城市7km、郊區18km、偏鄉25km</t>
        </is>
      </c>
    </row>
    <row r="5">
      <c r="A5" s="4" t="inlineStr">
        <is>
          <t>每月減少訪視次數（單人）</t>
        </is>
      </c>
      <c r="B5" s="5" t="n">
        <v>2</v>
      </c>
      <c r="C5" s="4" t="inlineStr">
        <is>
          <t>次/月</t>
        </is>
      </c>
      <c r="D5" s="4" t="inlineStr">
        <is>
          <t>導入前4次-導入後2次</t>
        </is>
      </c>
      <c r="E5" s="4" t="inlineStr"/>
    </row>
    <row r="6">
      <c r="A6" s="4" t="inlineStr">
        <is>
          <t>受惠長者人數</t>
        </is>
      </c>
      <c r="B6" s="5" t="n">
        <v>3300</v>
      </c>
      <c r="C6" s="4" t="inlineStr">
        <is>
          <t>人</t>
        </is>
      </c>
      <c r="D6" s="4" t="inlineStr">
        <is>
          <t>實際服務人數統計</t>
        </is>
      </c>
      <c r="E6" s="4" t="inlineStr"/>
    </row>
    <row r="7">
      <c r="A7" s="4" t="inlineStr"/>
      <c r="B7" s="5" t="inlineStr"/>
      <c r="C7" s="4" t="inlineStr"/>
      <c r="D7" s="4" t="inlineStr"/>
      <c r="E7" s="4" t="inlineStr"/>
    </row>
    <row r="8">
      <c r="A8" s="4" t="inlineStr">
        <is>
          <t>每月減少總里程</t>
        </is>
      </c>
      <c r="B8" s="5">
        <f>B4*B5*B6</f>
        <v/>
      </c>
      <c r="C8" s="4" t="inlineStr">
        <is>
          <t>公里/月</t>
        </is>
      </c>
      <c r="D8" s="4" t="inlineStr">
        <is>
          <t>距離×次數×人數</t>
        </is>
      </c>
      <c r="E8" s="4" t="inlineStr"/>
    </row>
    <row r="9">
      <c r="A9" s="11" t="inlineStr">
        <is>
          <t>年度減少總里程</t>
        </is>
      </c>
      <c r="B9" s="12">
        <f>B9*12</f>
        <v/>
      </c>
      <c r="C9" s="11" t="inlineStr">
        <is>
          <t>公里/年</t>
        </is>
      </c>
      <c r="D9" s="11" t="inlineStr">
        <is>
          <t>月里程×12個月</t>
        </is>
      </c>
      <c r="E9" s="11" t="inlineStr"/>
    </row>
    <row r="10">
      <c r="A10" s="11" t="inlineStr">
        <is>
          <t>試營運期間減少里程（6個月）</t>
        </is>
      </c>
      <c r="B10" s="12">
        <f>B9*6</f>
        <v/>
      </c>
      <c r="C10" s="11" t="inlineStr">
        <is>
          <t>公里</t>
        </is>
      </c>
      <c r="D10" s="11" t="inlineStr">
        <is>
          <t>月里程×6個月</t>
        </is>
      </c>
      <c r="E10" s="11" t="inlineStr">
        <is>
          <t>實際統計期間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碳排放減少量詳細計算表</t>
        </is>
      </c>
    </row>
    <row r="3">
      <c r="A3" s="3" t="inlineStr">
        <is>
          <t>計算步驟</t>
        </is>
      </c>
      <c r="B3" s="3" t="inlineStr">
        <is>
          <t>數值</t>
        </is>
      </c>
      <c r="C3" s="3" t="inlineStr">
        <is>
          <t>單位</t>
        </is>
      </c>
      <c r="D3" s="3" t="inlineStr">
        <is>
          <t>計算公式</t>
        </is>
      </c>
      <c r="E3" s="3" t="inlineStr">
        <is>
          <t>數據來源</t>
        </is>
      </c>
      <c r="F3" s="3" t="inlineStr">
        <is>
          <t>備註</t>
        </is>
      </c>
    </row>
    <row r="4">
      <c r="A4" s="4" t="inlineStr">
        <is>
          <t>加權平均排放係數</t>
        </is>
      </c>
      <c r="B4" s="13" t="n">
        <v>0.1018</v>
      </c>
      <c r="C4" s="4" t="inlineStr">
        <is>
          <t>kg CO2e/km</t>
        </is>
      </c>
      <c r="D4" s="4" t="inlineStr">
        <is>
          <t>引用表1計算結果</t>
        </is>
      </c>
      <c r="E4" s="4" t="inlineStr">
        <is>
          <t>環保署排放係數</t>
        </is>
      </c>
      <c r="F4" s="4" t="inlineStr"/>
    </row>
    <row r="5">
      <c r="A5" s="4" t="inlineStr">
        <is>
          <t>單次訪視距離</t>
        </is>
      </c>
      <c r="B5" s="13" t="n">
        <v>15</v>
      </c>
      <c r="C5" s="4" t="inlineStr">
        <is>
          <t>公里</t>
        </is>
      </c>
      <c r="D5" s="4" t="inlineStr">
        <is>
          <t>來回距離</t>
        </is>
      </c>
      <c r="E5" s="4" t="inlineStr">
        <is>
          <t>實際統計</t>
        </is>
      </c>
      <c r="F5" s="4" t="inlineStr"/>
    </row>
    <row r="6">
      <c r="A6" s="4" t="inlineStr">
        <is>
          <t>單次訪視碳排放</t>
        </is>
      </c>
      <c r="B6" s="5">
        <f>B4*B5</f>
        <v/>
      </c>
      <c r="C6" s="4" t="inlineStr">
        <is>
          <t>kg CO2e</t>
        </is>
      </c>
      <c r="D6" s="4" t="inlineStr">
        <is>
          <t>係數×距離</t>
        </is>
      </c>
      <c r="E6" s="4" t="inlineStr"/>
      <c r="F6" s="4" t="inlineStr"/>
    </row>
    <row r="7">
      <c r="A7" s="4" t="inlineStr">
        <is>
          <t>單次訪視碳排放</t>
        </is>
      </c>
      <c r="B7" s="5">
        <f>B6/1000</f>
        <v/>
      </c>
      <c r="C7" s="4" t="inlineStr">
        <is>
          <t>公噸 CO2e</t>
        </is>
      </c>
      <c r="D7" s="4" t="inlineStr">
        <is>
          <t>kg轉換為公噸</t>
        </is>
      </c>
      <c r="E7" s="4" t="inlineStr"/>
      <c r="F7" s="4" t="inlineStr"/>
    </row>
    <row r="8">
      <c r="A8" s="4" t="inlineStr"/>
      <c r="B8" s="5" t="inlineStr"/>
      <c r="C8" s="4" t="inlineStr"/>
      <c r="D8" s="4" t="inlineStr"/>
      <c r="E8" s="4" t="inlineStr"/>
      <c r="F8" s="4" t="inlineStr"/>
    </row>
    <row r="9">
      <c r="A9" s="4" t="inlineStr">
        <is>
          <t>試營運期間減少訪視次數</t>
        </is>
      </c>
      <c r="B9" s="5" t="n">
        <v>39600</v>
      </c>
      <c r="C9" s="4" t="inlineStr">
        <is>
          <t>次</t>
        </is>
      </c>
      <c r="D9" s="4" t="inlineStr">
        <is>
          <t>引用表2計算結果</t>
        </is>
      </c>
      <c r="E9" s="4" t="inlineStr">
        <is>
          <t>系統統計</t>
        </is>
      </c>
      <c r="F9" s="4" t="inlineStr">
        <is>
          <t>6個月累計</t>
        </is>
      </c>
    </row>
    <row r="10">
      <c r="A10" s="4" t="inlineStr"/>
      <c r="B10" s="5" t="inlineStr"/>
      <c r="C10" s="4" t="inlineStr"/>
      <c r="D10" s="4" t="inlineStr"/>
      <c r="E10" s="4" t="inlineStr"/>
      <c r="F10" s="4" t="inlineStr"/>
    </row>
    <row r="11">
      <c r="A11" s="4" t="inlineStr">
        <is>
          <t>總碳排放減少量（kg）</t>
        </is>
      </c>
      <c r="B11" s="5">
        <f>B6*B10</f>
        <v/>
      </c>
      <c r="C11" s="4" t="inlineStr">
        <is>
          <t>kg CO2e</t>
        </is>
      </c>
      <c r="D11" s="4" t="inlineStr">
        <is>
          <t>單次排放×總次數</t>
        </is>
      </c>
      <c r="E11" s="4" t="inlineStr"/>
      <c r="F11" s="4" t="inlineStr"/>
    </row>
    <row r="12">
      <c r="A12" s="4" t="inlineStr">
        <is>
          <t>總碳排放減少量（公噸）</t>
        </is>
      </c>
      <c r="B12" s="5">
        <f>B13/1000</f>
        <v/>
      </c>
      <c r="C12" s="4" t="inlineStr">
        <is>
          <t>公噸 CO2e</t>
        </is>
      </c>
      <c r="D12" s="4" t="inlineStr">
        <is>
          <t>kg轉換為公噸</t>
        </is>
      </c>
      <c r="E12" s="4" t="inlineStr"/>
      <c r="F12" s="4" t="inlineStr">
        <is>
          <t>最終結果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試營運期間月度碳排放減少統計表</t>
        </is>
      </c>
    </row>
    <row r="3">
      <c r="A3" s="3" t="inlineStr">
        <is>
          <t>月份</t>
        </is>
      </c>
      <c r="B3" s="3" t="inlineStr">
        <is>
          <t>服務人數</t>
        </is>
      </c>
      <c r="C3" s="3" t="inlineStr">
        <is>
          <t>減少訪視
次數</t>
        </is>
      </c>
      <c r="D3" s="3" t="inlineStr">
        <is>
          <t>減少里程
(公里)</t>
        </is>
      </c>
      <c r="E3" s="3" t="inlineStr">
        <is>
          <t>碳排放減少
(kg CO2e)</t>
        </is>
      </c>
      <c r="F3" s="3" t="inlineStr">
        <is>
          <t>碳排放減少
(公噸 CO2e)</t>
        </is>
      </c>
      <c r="G3" s="3" t="inlineStr">
        <is>
          <t>累計減少
(公噸 CO2e)</t>
        </is>
      </c>
      <c r="H3" s="3" t="inlineStr">
        <is>
          <t>達成率</t>
        </is>
      </c>
    </row>
    <row r="4">
      <c r="A4" s="4" t="inlineStr">
        <is>
          <t>2024年01月</t>
        </is>
      </c>
      <c r="B4" s="5" t="n">
        <v>3300</v>
      </c>
      <c r="C4" s="5">
        <f>B4*2</f>
        <v/>
      </c>
      <c r="D4" s="5">
        <f>C4*15</f>
        <v/>
      </c>
      <c r="E4" s="5">
        <f>D4*0.1018</f>
        <v/>
      </c>
      <c r="F4" s="14">
        <f>E4/1000</f>
        <v/>
      </c>
      <c r="G4" s="14">
        <f>F4</f>
        <v/>
      </c>
      <c r="H4" s="15">
        <f>G4/60.49</f>
        <v/>
      </c>
    </row>
    <row r="5">
      <c r="A5" s="4" t="inlineStr">
        <is>
          <t>2024年01月</t>
        </is>
      </c>
      <c r="B5" s="5" t="n">
        <v>3300</v>
      </c>
      <c r="C5" s="5">
        <f>B5*2</f>
        <v/>
      </c>
      <c r="D5" s="5">
        <f>C5*15</f>
        <v/>
      </c>
      <c r="E5" s="5">
        <f>D5*0.1018</f>
        <v/>
      </c>
      <c r="F5" s="14">
        <f>E5/1000</f>
        <v/>
      </c>
      <c r="G5" s="14">
        <f>G4+F5</f>
        <v/>
      </c>
      <c r="H5" s="15">
        <f>G5/60.49</f>
        <v/>
      </c>
    </row>
    <row r="6">
      <c r="A6" s="4" t="inlineStr">
        <is>
          <t>2024年03月</t>
        </is>
      </c>
      <c r="B6" s="5" t="n">
        <v>3300</v>
      </c>
      <c r="C6" s="5">
        <f>B6*2</f>
        <v/>
      </c>
      <c r="D6" s="5">
        <f>C6*15</f>
        <v/>
      </c>
      <c r="E6" s="5">
        <f>D6*0.1018</f>
        <v/>
      </c>
      <c r="F6" s="14">
        <f>E6/1000</f>
        <v/>
      </c>
      <c r="G6" s="14">
        <f>G5+F6</f>
        <v/>
      </c>
      <c r="H6" s="15">
        <f>G6/60.49</f>
        <v/>
      </c>
    </row>
    <row r="7">
      <c r="A7" s="4" t="inlineStr">
        <is>
          <t>2024年03月</t>
        </is>
      </c>
      <c r="B7" s="5" t="n">
        <v>3300</v>
      </c>
      <c r="C7" s="5">
        <f>B7*2</f>
        <v/>
      </c>
      <c r="D7" s="5">
        <f>C7*15</f>
        <v/>
      </c>
      <c r="E7" s="5">
        <f>D7*0.1018</f>
        <v/>
      </c>
      <c r="F7" s="14">
        <f>E7/1000</f>
        <v/>
      </c>
      <c r="G7" s="14">
        <f>G6+F7</f>
        <v/>
      </c>
      <c r="H7" s="15">
        <f>G7/60.49</f>
        <v/>
      </c>
    </row>
    <row r="8">
      <c r="A8" s="4" t="inlineStr">
        <is>
          <t>2024年04月</t>
        </is>
      </c>
      <c r="B8" s="5" t="n">
        <v>3300</v>
      </c>
      <c r="C8" s="5">
        <f>B8*2</f>
        <v/>
      </c>
      <c r="D8" s="5">
        <f>C8*15</f>
        <v/>
      </c>
      <c r="E8" s="5">
        <f>D8*0.1018</f>
        <v/>
      </c>
      <c r="F8" s="14">
        <f>E8/1000</f>
        <v/>
      </c>
      <c r="G8" s="14">
        <f>G7+F8</f>
        <v/>
      </c>
      <c r="H8" s="15">
        <f>G8/60.49</f>
        <v/>
      </c>
    </row>
    <row r="9">
      <c r="A9" s="4" t="inlineStr">
        <is>
          <t>2024年05月</t>
        </is>
      </c>
      <c r="B9" s="5" t="n">
        <v>3300</v>
      </c>
      <c r="C9" s="5">
        <f>B9*2</f>
        <v/>
      </c>
      <c r="D9" s="5">
        <f>C9*15</f>
        <v/>
      </c>
      <c r="E9" s="5">
        <f>D9*0.1018</f>
        <v/>
      </c>
      <c r="F9" s="14">
        <f>E9/1000</f>
        <v/>
      </c>
      <c r="G9" s="14">
        <f>G8+F9</f>
        <v/>
      </c>
      <c r="H9" s="15">
        <f>G9/60.49</f>
        <v/>
      </c>
    </row>
    <row r="10">
      <c r="A10" s="6" t="inlineStr">
        <is>
          <t>總計</t>
        </is>
      </c>
      <c r="B10" s="7" t="n"/>
      <c r="C10" s="7">
        <f>SUM(C4:C9)</f>
        <v/>
      </c>
      <c r="D10" s="7">
        <f>SUM(D4:D9)</f>
        <v/>
      </c>
      <c r="E10" s="7">
        <f>SUM(E4:E9)</f>
        <v/>
      </c>
      <c r="F10" s="7">
        <f>SUM(F4:F9)</f>
        <v/>
      </c>
      <c r="G10" s="7">
        <f>G9</f>
        <v/>
      </c>
      <c r="H10" s="7" t="inlineStr">
        <is>
          <t>100%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區域別碳排放減少效益統計表</t>
        </is>
      </c>
    </row>
    <row r="3">
      <c r="A3" s="3" t="inlineStr">
        <is>
          <t>區域類型</t>
        </is>
      </c>
      <c r="B3" s="3" t="inlineStr">
        <is>
          <t>服務人數</t>
        </is>
      </c>
      <c r="C3" s="3" t="inlineStr">
        <is>
          <t>平均訪視
距離(km)</t>
        </is>
      </c>
      <c r="D3" s="3" t="inlineStr">
        <is>
          <t>減少訪視
次數/月</t>
        </is>
      </c>
      <c r="E3" s="3" t="inlineStr">
        <is>
          <t>月減少
里程(km)</t>
        </is>
      </c>
      <c r="F3" s="3" t="inlineStr">
        <is>
          <t>排放係數
(kg/km)</t>
        </is>
      </c>
      <c r="G3" s="3" t="inlineStr">
        <is>
          <t>月碳減量
(kg CO2e)</t>
        </is>
      </c>
      <c r="H3" s="3" t="inlineStr">
        <is>
          <t>6個月碳減
(公噸)</t>
        </is>
      </c>
      <c r="I3" s="3" t="inlineStr">
        <is>
          <t>佔比</t>
        </is>
      </c>
    </row>
    <row r="4">
      <c r="A4" s="4" t="inlineStr">
        <is>
          <t>城市地區</t>
        </is>
      </c>
      <c r="B4" s="5" t="n">
        <v>1650</v>
      </c>
      <c r="C4" s="5" t="n">
        <v>7</v>
      </c>
      <c r="D4" s="5">
        <f>B4*2</f>
        <v/>
      </c>
      <c r="E4" s="5">
        <f>C4*D4</f>
        <v/>
      </c>
      <c r="F4" s="5" t="n">
        <v>0.1018</v>
      </c>
      <c r="G4" s="5">
        <f>E4*F4</f>
        <v/>
      </c>
      <c r="H4" s="14">
        <f>G4*6/1000</f>
        <v/>
      </c>
      <c r="I4" s="15">
        <f>H4/H$8</f>
        <v/>
      </c>
    </row>
    <row r="5">
      <c r="A5" s="4" t="inlineStr">
        <is>
          <t>郊區地區</t>
        </is>
      </c>
      <c r="B5" s="5" t="n">
        <v>1320</v>
      </c>
      <c r="C5" s="5" t="n">
        <v>18</v>
      </c>
      <c r="D5" s="5">
        <f>B5*2</f>
        <v/>
      </c>
      <c r="E5" s="5">
        <f>C5*D5</f>
        <v/>
      </c>
      <c r="F5" s="5" t="n">
        <v>0.1018</v>
      </c>
      <c r="G5" s="5">
        <f>E5*F5</f>
        <v/>
      </c>
      <c r="H5" s="14">
        <f>G5*6/1000</f>
        <v/>
      </c>
      <c r="I5" s="15">
        <f>H5/H$8</f>
        <v/>
      </c>
    </row>
    <row r="6">
      <c r="A6" s="4" t="inlineStr">
        <is>
          <t>偏鄉地區</t>
        </is>
      </c>
      <c r="B6" s="5" t="n">
        <v>330</v>
      </c>
      <c r="C6" s="5" t="n">
        <v>25</v>
      </c>
      <c r="D6" s="5">
        <f>B6*2</f>
        <v/>
      </c>
      <c r="E6" s="5">
        <f>C6*D6</f>
        <v/>
      </c>
      <c r="F6" s="5" t="n">
        <v>0.1018</v>
      </c>
      <c r="G6" s="5">
        <f>E6*F6</f>
        <v/>
      </c>
      <c r="H6" s="14">
        <f>G6*6/1000</f>
        <v/>
      </c>
      <c r="I6" s="15">
        <f>H6/H$8</f>
        <v/>
      </c>
    </row>
    <row r="7">
      <c r="A7" s="4" t="inlineStr"/>
      <c r="B7" s="5" t="inlineStr"/>
      <c r="C7" s="5" t="inlineStr"/>
      <c r="D7" s="5" t="inlineStr"/>
      <c r="E7" s="5" t="inlineStr"/>
      <c r="F7" s="5" t="inlineStr"/>
      <c r="G7" s="5" t="inlineStr"/>
      <c r="H7" s="14" t="inlineStr"/>
      <c r="I7" s="15" t="inlineStr"/>
    </row>
    <row r="8">
      <c r="A8" s="6" t="inlineStr">
        <is>
          <t>總計</t>
        </is>
      </c>
      <c r="B8" s="7">
        <f>SUM(B4:B6)</f>
        <v/>
      </c>
      <c r="C8" s="7" t="inlineStr"/>
      <c r="D8" s="7">
        <f>SUM(D4:D6)</f>
        <v/>
      </c>
      <c r="E8" s="7">
        <f>SUM(E4:E6)</f>
        <v/>
      </c>
      <c r="F8" s="7" t="inlineStr"/>
      <c r="G8" s="7">
        <f>SUM(G4:G6)</f>
        <v/>
      </c>
      <c r="H8" s="16">
        <f>SUM(H4:H6)</f>
        <v/>
      </c>
      <c r="I8" s="17" t="inlineStr">
        <is>
          <t>100%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5" customWidth="1" min="5" max="5"/>
  </cols>
  <sheetData>
    <row r="1">
      <c r="A1" s="1" t="inlineStr">
        <is>
          <t>數據來源可靠性彙總表</t>
        </is>
      </c>
    </row>
    <row r="3">
      <c r="A3" s="3" t="inlineStr">
        <is>
          <t>數據項目</t>
        </is>
      </c>
      <c r="B3" s="3" t="inlineStr">
        <is>
          <t>數據來源</t>
        </is>
      </c>
      <c r="C3" s="3" t="inlineStr">
        <is>
          <t>來源類型</t>
        </is>
      </c>
      <c r="D3" s="3" t="inlineStr">
        <is>
          <t>可靠性等級</t>
        </is>
      </c>
      <c r="E3" s="3" t="inlineStr">
        <is>
          <t>備註說明</t>
        </is>
      </c>
    </row>
    <row r="4">
      <c r="A4" s="4" t="inlineStr">
        <is>
          <t>溫室氣體排放係數</t>
        </is>
      </c>
      <c r="B4" s="4" t="inlineStr">
        <is>
          <t>行政院環保署排放係數管理表6.0.4版</t>
        </is>
      </c>
      <c r="C4" s="4" t="inlineStr">
        <is>
          <t>政府官方標準</t>
        </is>
      </c>
      <c r="D4" s="18" t="inlineStr">
        <is>
          <t>★★★★★</t>
        </is>
      </c>
      <c r="E4" s="4" t="inlineStr">
        <is>
          <t>國家級標準數據</t>
        </is>
      </c>
    </row>
    <row r="5">
      <c r="A5" s="4" t="inlineStr">
        <is>
          <t>交通工具使用比例</t>
        </is>
      </c>
      <c r="B5" s="4" t="inlineStr">
        <is>
          <t>社工訪視交通工具調查（n=150）</t>
        </is>
      </c>
      <c r="C5" s="4" t="inlineStr">
        <is>
          <t>實地調查</t>
        </is>
      </c>
      <c r="D5" s="18" t="inlineStr">
        <is>
          <t>★★★★☆</t>
        </is>
      </c>
      <c r="E5" s="4" t="inlineStr">
        <is>
          <t>2024年1月調查</t>
        </is>
      </c>
    </row>
    <row r="6">
      <c r="A6" s="4" t="inlineStr">
        <is>
          <t>服務人數統計</t>
        </is>
      </c>
      <c r="B6" s="4" t="inlineStr">
        <is>
          <t>AI關懷系統後台數據</t>
        </is>
      </c>
      <c r="C6" s="4" t="inlineStr">
        <is>
          <t>系統記錄</t>
        </is>
      </c>
      <c r="D6" s="18" t="inlineStr">
        <is>
          <t>★★★★★</t>
        </is>
      </c>
      <c r="E6" s="4" t="inlineStr">
        <is>
          <t>即時統計數據</t>
        </is>
      </c>
    </row>
    <row r="7">
      <c r="A7" s="4" t="inlineStr">
        <is>
          <t>訪視頻率變化</t>
        </is>
      </c>
      <c r="B7" s="4" t="inlineStr">
        <is>
          <t>系統訪視記錄比對</t>
        </is>
      </c>
      <c r="C7" s="4" t="inlineStr">
        <is>
          <t>系統記錄</t>
        </is>
      </c>
      <c r="D7" s="18" t="inlineStr">
        <is>
          <t>★★★★★</t>
        </is>
      </c>
      <c r="E7" s="4" t="inlineStr">
        <is>
          <t>導入前後對比</t>
        </is>
      </c>
    </row>
    <row r="8">
      <c r="A8" s="4" t="inlineStr">
        <is>
          <t>訪視距離數據</t>
        </is>
      </c>
      <c r="B8" s="4" t="inlineStr">
        <is>
          <t>GPS定位系統記錄</t>
        </is>
      </c>
      <c r="C8" s="4" t="inlineStr">
        <is>
          <t>系統記錄</t>
        </is>
      </c>
      <c r="D8" s="18" t="inlineStr">
        <is>
          <t>★★★★★</t>
        </is>
      </c>
      <c r="E8" s="4" t="inlineStr">
        <is>
          <t>自動追蹤記錄</t>
        </is>
      </c>
    </row>
    <row r="9">
      <c r="A9" s="4" t="inlineStr">
        <is>
          <t>區域分布資料</t>
        </is>
      </c>
      <c r="B9" s="4" t="inlineStr">
        <is>
          <t>合作機構服務區域統計</t>
        </is>
      </c>
      <c r="C9" s="4" t="inlineStr">
        <is>
          <t>機構報表</t>
        </is>
      </c>
      <c r="D9" s="18" t="inlineStr">
        <is>
          <t>★★★★☆</t>
        </is>
      </c>
      <c r="E9" s="4" t="inlineStr">
        <is>
          <t>季度統計數據</t>
        </is>
      </c>
    </row>
    <row r="10">
      <c r="A10" s="4" t="inlineStr">
        <is>
          <t>碳減量計算</t>
        </is>
      </c>
      <c r="B10" s="4" t="inlineStr">
        <is>
          <t>依環保署標準公式計算</t>
        </is>
      </c>
      <c r="C10" s="4" t="inlineStr">
        <is>
          <t>標準計算</t>
        </is>
      </c>
      <c r="D10" s="18" t="inlineStr">
        <is>
          <t>★★★★★</t>
        </is>
      </c>
      <c r="E10" s="4" t="inlineStr">
        <is>
          <t>符合國家標準</t>
        </is>
      </c>
    </row>
    <row r="12">
      <c r="A12" s="9" t="inlineStr">
        <is>
          <t>可靠性等級說明：</t>
        </is>
      </c>
    </row>
    <row r="13">
      <c r="A13" t="inlineStr">
        <is>
          <t>★★★★★ = 政府官方標準或系統自動記錄</t>
        </is>
      </c>
    </row>
    <row r="14">
      <c r="A14" t="inlineStr">
        <is>
          <t>★★★★☆ = 實地調查或機構統計數據</t>
        </is>
      </c>
    </row>
    <row r="15">
      <c r="A15" t="inlineStr">
        <is>
          <t>★★★☆☆ = 抽樣調查或估算數據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2025-11-08T08:16:10Z</dcterms:created>
  <dcterms:modified xsi:type="dcterms:W3CDTF">2025-11-08T08:16:10Z</dcterms:modified>
</cp:coreProperties>
</file>