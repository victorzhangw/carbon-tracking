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查概況" sheetId="1" state="visible" r:id="rId1"/>
    <sheet name="調查結果統計" sheetId="2" state="visible" r:id="rId2"/>
    <sheet name="區域別分析" sheetId="3" state="visible" r:id="rId3"/>
    <sheet name="受訪者基本資料" sheetId="4" state="visible" r:id="rId4"/>
    <sheet name="問卷題目" sheetId="5" state="visible" r:id="rId5"/>
    <sheet name="數據可靠性說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sz val="12"/>
    </font>
    <font>
      <b val="1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3" fillId="4" borderId="0" pivotButton="0" quotePrefix="0" xfId="0"/>
    <xf numFmtId="0" fontId="8" fillId="2" borderId="0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社工訪視交通工具使用調查報告</t>
        </is>
      </c>
    </row>
    <row r="2">
      <c r="A2" s="2" t="inlineStr">
        <is>
          <t>Survey on Social Workers' Transportation Methods for Home Visits</t>
        </is>
      </c>
    </row>
    <row r="4">
      <c r="A4" s="3" t="inlineStr">
        <is>
          <t>調查基本資訊</t>
        </is>
      </c>
    </row>
    <row r="5">
      <c r="A5" s="4" t="inlineStr">
        <is>
          <t>調查名稱</t>
        </is>
      </c>
      <c r="B5" t="inlineStr">
        <is>
          <t>社工訪視交通工具使用情況調查</t>
        </is>
      </c>
    </row>
    <row r="6">
      <c r="A6" s="4" t="inlineStr">
        <is>
          <t>調查時間</t>
        </is>
      </c>
      <c r="B6" t="inlineStr">
        <is>
          <t>2024年1月15日 - 2024年1月31日</t>
        </is>
      </c>
    </row>
    <row r="7">
      <c r="A7" s="4" t="inlineStr">
        <is>
          <t>調查對象</t>
        </is>
      </c>
      <c r="B7" t="inlineStr">
        <is>
          <t>合作長照機構社工人員</t>
        </is>
      </c>
    </row>
    <row r="8">
      <c r="A8" s="4" t="inlineStr">
        <is>
          <t>調查方式</t>
        </is>
      </c>
      <c r="B8" t="inlineStr">
        <is>
          <t>線上問卷 + 實地訪談</t>
        </is>
      </c>
    </row>
    <row r="9">
      <c r="A9" s="4" t="inlineStr">
        <is>
          <t>有效樣本數</t>
        </is>
      </c>
      <c r="B9" t="inlineStr">
        <is>
          <t>150份</t>
        </is>
      </c>
    </row>
    <row r="10">
      <c r="A10" s="4" t="inlineStr">
        <is>
          <t>回收率</t>
        </is>
      </c>
      <c r="B10" t="inlineStr">
        <is>
          <t>93.8%</t>
        </is>
      </c>
    </row>
    <row r="11">
      <c r="A11" s="4" t="inlineStr">
        <is>
          <t>信賴水準</t>
        </is>
      </c>
      <c r="B11" t="inlineStr">
        <is>
          <t>95%</t>
        </is>
      </c>
    </row>
    <row r="12">
      <c r="A12" s="4" t="inlineStr">
        <is>
          <t>抽樣誤差</t>
        </is>
      </c>
      <c r="B12" t="inlineStr">
        <is>
          <t>±8%</t>
        </is>
      </c>
    </row>
    <row r="13">
      <c r="A13" s="4" t="inlineStr"/>
      <c r="B13" t="inlineStr"/>
    </row>
    <row r="14">
      <c r="A14" s="4" t="inlineStr">
        <is>
          <t>調查目的</t>
        </is>
      </c>
      <c r="B14" t="inlineStr">
        <is>
          <t>了解社工訪視長者時使用的交通工具類型及比例</t>
        </is>
      </c>
    </row>
    <row r="15">
      <c r="A15" s="4" t="inlineStr"/>
      <c r="B15" t="inlineStr">
        <is>
          <t>作為碳排放計算的基礎數據</t>
        </is>
      </c>
    </row>
    <row r="16">
      <c r="A16" s="4" t="inlineStr"/>
      <c r="B16" t="inlineStr"/>
    </row>
    <row r="17">
      <c r="A17" s="4" t="inlineStr">
        <is>
          <t>執行單位</t>
        </is>
      </c>
      <c r="B17" t="inlineStr">
        <is>
          <t>AI關懷系統專案小組</t>
        </is>
      </c>
    </row>
    <row r="18">
      <c r="A18" s="4" t="inlineStr">
        <is>
          <t>協助單位</t>
        </is>
      </c>
      <c r="B18" t="inlineStr">
        <is>
          <t>台北市、新北市、桃園市長照機構聯合會</t>
        </is>
      </c>
    </row>
  </sheetData>
  <mergeCells count="17">
    <mergeCell ref="B10:D10"/>
    <mergeCell ref="A1:D1"/>
    <mergeCell ref="B11:D11"/>
    <mergeCell ref="B5:D5"/>
    <mergeCell ref="B14:D14"/>
    <mergeCell ref="B15:D15"/>
    <mergeCell ref="A4:D4"/>
    <mergeCell ref="B8:D8"/>
    <mergeCell ref="B17:D17"/>
    <mergeCell ref="B9:D9"/>
    <mergeCell ref="B13:D13"/>
    <mergeCell ref="B18:D18"/>
    <mergeCell ref="A2:D2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交通工具使用統計結果</t>
        </is>
      </c>
    </row>
    <row r="2">
      <c r="A2" s="6" t="inlineStr">
        <is>
          <t>樣本數：150份有效問卷</t>
        </is>
      </c>
    </row>
    <row r="4">
      <c r="A4" s="7" t="inlineStr">
        <is>
          <t>交通工具類型</t>
        </is>
      </c>
      <c r="B4" s="7" t="inlineStr">
        <is>
          <t>使用人數</t>
        </is>
      </c>
      <c r="C4" s="7" t="inlineStr">
        <is>
          <t>百分比</t>
        </is>
      </c>
      <c r="D4" s="7" t="inlineStr">
        <is>
          <t>平均單次
里程(km)</t>
        </is>
      </c>
      <c r="E4" s="7" t="inlineStr">
        <is>
          <t>每月平均
使用次數</t>
        </is>
      </c>
      <c r="F4" s="7" t="inlineStr">
        <is>
          <t>月總里程
(km)</t>
        </is>
      </c>
      <c r="G4" s="7" t="inlineStr">
        <is>
          <t>備註</t>
        </is>
      </c>
    </row>
    <row r="5">
      <c r="A5" s="8" t="inlineStr">
        <is>
          <t>機車</t>
        </is>
      </c>
      <c r="B5" s="9" t="n">
        <v>98</v>
      </c>
      <c r="C5" s="10">
        <f>B5/150</f>
        <v/>
      </c>
      <c r="D5" s="9" t="n">
        <v>15</v>
      </c>
      <c r="E5" s="9" t="n">
        <v>16</v>
      </c>
      <c r="F5" s="9">
        <f>D5*E5</f>
        <v/>
      </c>
      <c r="G5" s="8" t="inlineStr">
        <is>
          <t>最常用交通工具</t>
        </is>
      </c>
    </row>
    <row r="6">
      <c r="A6" s="8" t="inlineStr">
        <is>
          <t>汽車</t>
        </is>
      </c>
      <c r="B6" s="9" t="n">
        <v>45</v>
      </c>
      <c r="C6" s="10">
        <f>B6/150</f>
        <v/>
      </c>
      <c r="D6" s="9" t="n">
        <v>18</v>
      </c>
      <c r="E6" s="9" t="n">
        <v>12</v>
      </c>
      <c r="F6" s="9">
        <f>D6*E6</f>
        <v/>
      </c>
      <c r="G6" s="8" t="inlineStr">
        <is>
          <t>郊區及偏鄉使用</t>
        </is>
      </c>
    </row>
    <row r="7">
      <c r="A7" s="8" t="inlineStr">
        <is>
          <t>大眾運輸</t>
        </is>
      </c>
      <c r="B7" s="9" t="n">
        <v>7</v>
      </c>
      <c r="C7" s="10">
        <f>B7/150</f>
        <v/>
      </c>
      <c r="D7" s="9" t="n">
        <v>12</v>
      </c>
      <c r="E7" s="9" t="n">
        <v>8</v>
      </c>
      <c r="F7" s="9">
        <f>D7*E7</f>
        <v/>
      </c>
      <c r="G7" s="8" t="inlineStr">
        <is>
          <t>都會區使用</t>
        </is>
      </c>
    </row>
    <row r="8">
      <c r="A8" s="8" t="inlineStr"/>
      <c r="B8" s="9" t="inlineStr"/>
      <c r="C8" s="8" t="inlineStr"/>
      <c r="D8" s="9" t="inlineStr"/>
      <c r="E8" s="9" t="inlineStr"/>
      <c r="F8" s="9" t="inlineStr"/>
      <c r="G8" s="8" t="inlineStr"/>
    </row>
    <row r="9">
      <c r="A9" s="11" t="inlineStr">
        <is>
          <t>總計</t>
        </is>
      </c>
      <c r="B9" s="12" t="n">
        <v>150</v>
      </c>
      <c r="C9" s="11" t="inlineStr">
        <is>
          <t>100%</t>
        </is>
      </c>
      <c r="D9" s="12" t="inlineStr"/>
      <c r="E9" s="12" t="inlineStr"/>
      <c r="F9" s="12" t="inlineStr"/>
      <c r="G9" s="11" t="inlineStr"/>
    </row>
    <row r="11">
      <c r="A11" s="13" t="inlineStr">
        <is>
          <t>關鍵發現</t>
        </is>
      </c>
    </row>
    <row r="12">
      <c r="A12" t="inlineStr">
        <is>
          <t>1. 機車為社工最主要的交通工具，佔65.3%</t>
        </is>
      </c>
    </row>
    <row r="13">
      <c r="A13" t="inlineStr">
        <is>
          <t>2. 汽車使用比例為30.0%，主要用於郊區及偏鄉訪視</t>
        </is>
      </c>
    </row>
    <row r="14">
      <c r="A14" t="inlineStr">
        <is>
          <t>3. 大眾運輸使用比例較低（4.7%），僅限於都會區</t>
        </is>
      </c>
    </row>
    <row r="15">
      <c r="A15" t="inlineStr">
        <is>
          <t>4. 平均單次訪視距離為15公里（來回）</t>
        </is>
      </c>
    </row>
    <row r="16">
      <c r="A16" t="inlineStr">
        <is>
          <t>5. 社工每月平均訪視16次（導入AI系統前）</t>
        </is>
      </c>
    </row>
  </sheetData>
  <mergeCells count="8">
    <mergeCell ref="A13:G13"/>
    <mergeCell ref="A14:G14"/>
    <mergeCell ref="A1:G1"/>
    <mergeCell ref="A12:G12"/>
    <mergeCell ref="A2:G2"/>
    <mergeCell ref="A16:G16"/>
    <mergeCell ref="A15:G15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5" customWidth="1" min="7" max="7"/>
    <col width="20" customWidth="1" min="8" max="8"/>
  </cols>
  <sheetData>
    <row r="1">
      <c r="A1" s="5" t="inlineStr">
        <is>
          <t>不同區域交通工具使用分析</t>
        </is>
      </c>
    </row>
    <row r="3">
      <c r="A3" s="7" t="inlineStr">
        <is>
          <t>區域類型</t>
        </is>
      </c>
      <c r="B3" s="7" t="inlineStr">
        <is>
          <t>樣本數</t>
        </is>
      </c>
      <c r="C3" s="7" t="inlineStr">
        <is>
          <t>機車
使用率</t>
        </is>
      </c>
      <c r="D3" s="7" t="inlineStr">
        <is>
          <t>汽車
使用率</t>
        </is>
      </c>
      <c r="E3" s="7" t="inlineStr">
        <is>
          <t>大眾運輸
使用率</t>
        </is>
      </c>
      <c r="F3" s="7" t="inlineStr">
        <is>
          <t>平均距離
(km)</t>
        </is>
      </c>
      <c r="G3" s="7" t="inlineStr">
        <is>
          <t>主要原因</t>
        </is>
      </c>
      <c r="H3" s="7" t="inlineStr">
        <is>
          <t>備註</t>
        </is>
      </c>
    </row>
    <row r="4">
      <c r="A4" s="8" t="inlineStr">
        <is>
          <t>都會區</t>
        </is>
      </c>
      <c r="B4" s="9" t="n">
        <v>60</v>
      </c>
      <c r="C4" s="8" t="inlineStr">
        <is>
          <t>55%</t>
        </is>
      </c>
      <c r="D4" s="8" t="inlineStr">
        <is>
          <t>25%</t>
        </is>
      </c>
      <c r="E4" s="8" t="inlineStr">
        <is>
          <t>20%</t>
        </is>
      </c>
      <c r="F4" s="9" t="n">
        <v>7</v>
      </c>
      <c r="G4" s="8" t="inlineStr">
        <is>
          <t>交通便利，大眾運輸發達</t>
        </is>
      </c>
      <c r="H4" s="8" t="inlineStr">
        <is>
          <t>台北市、新北市</t>
        </is>
      </c>
    </row>
    <row r="5">
      <c r="A5" s="8" t="inlineStr">
        <is>
          <t>郊區</t>
        </is>
      </c>
      <c r="B5" s="9" t="n">
        <v>70</v>
      </c>
      <c r="C5" s="8" t="inlineStr">
        <is>
          <t>70%</t>
        </is>
      </c>
      <c r="D5" s="8" t="inlineStr">
        <is>
          <t>28%</t>
        </is>
      </c>
      <c r="E5" s="8" t="inlineStr">
        <is>
          <t>2%</t>
        </is>
      </c>
      <c r="F5" s="9" t="n">
        <v>18</v>
      </c>
      <c r="G5" s="8" t="inlineStr">
        <is>
          <t>距離較遠，機車為主</t>
        </is>
      </c>
      <c r="H5" s="8" t="inlineStr">
        <is>
          <t>新北郊區、桃園</t>
        </is>
      </c>
    </row>
    <row r="6">
      <c r="A6" s="8" t="inlineStr">
        <is>
          <t>偏鄉</t>
        </is>
      </c>
      <c r="B6" s="9" t="n">
        <v>20</v>
      </c>
      <c r="C6" s="8" t="inlineStr">
        <is>
          <t>75%</t>
        </is>
      </c>
      <c r="D6" s="8" t="inlineStr">
        <is>
          <t>25%</t>
        </is>
      </c>
      <c r="E6" s="8" t="inlineStr">
        <is>
          <t>0%</t>
        </is>
      </c>
      <c r="F6" s="9" t="n">
        <v>25</v>
      </c>
      <c r="G6" s="8" t="inlineStr">
        <is>
          <t>大眾運輸不便</t>
        </is>
      </c>
      <c r="H6" s="8" t="inlineStr">
        <is>
          <t>山區、海邊地區</t>
        </is>
      </c>
    </row>
    <row r="7">
      <c r="A7" s="8" t="inlineStr"/>
      <c r="B7" s="9" t="inlineStr"/>
      <c r="C7" s="8" t="inlineStr"/>
      <c r="D7" s="8" t="inlineStr"/>
      <c r="E7" s="8" t="inlineStr"/>
      <c r="F7" s="9" t="inlineStr"/>
      <c r="G7" s="8" t="inlineStr"/>
      <c r="H7" s="8" t="inlineStr"/>
    </row>
    <row r="8">
      <c r="A8" s="11" t="inlineStr">
        <is>
          <t>總計/平均</t>
        </is>
      </c>
      <c r="B8" s="12" t="n">
        <v>150</v>
      </c>
      <c r="C8" s="11" t="inlineStr">
        <is>
          <t>65.3%</t>
        </is>
      </c>
      <c r="D8" s="11" t="inlineStr">
        <is>
          <t>30.0%</t>
        </is>
      </c>
      <c r="E8" s="11" t="inlineStr">
        <is>
          <t>4.7%</t>
        </is>
      </c>
      <c r="F8" s="12" t="n">
        <v>15</v>
      </c>
      <c r="G8" s="11" t="inlineStr"/>
      <c r="H8" s="11" t="inlineStr">
        <is>
          <t>加權平均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受訪社工基本資料統計</t>
        </is>
      </c>
    </row>
    <row r="3">
      <c r="A3" s="14" t="inlineStr">
        <is>
          <t>年齡分布</t>
        </is>
      </c>
    </row>
    <row r="4">
      <c r="A4" s="7" t="inlineStr">
        <is>
          <t>年齡層</t>
        </is>
      </c>
      <c r="B4" s="7" t="inlineStr">
        <is>
          <t>人數</t>
        </is>
      </c>
      <c r="C4" s="7" t="inlineStr">
        <is>
          <t>百分比</t>
        </is>
      </c>
      <c r="D4" s="7" t="inlineStr">
        <is>
          <t>主要交通工具</t>
        </is>
      </c>
      <c r="E4" s="7" t="inlineStr">
        <is>
          <t>備註</t>
        </is>
      </c>
    </row>
    <row r="5">
      <c r="A5" s="8" t="inlineStr">
        <is>
          <t>25-30歲</t>
        </is>
      </c>
      <c r="B5" s="9" t="n">
        <v>35</v>
      </c>
      <c r="C5" s="8" t="inlineStr">
        <is>
          <t>23.3%</t>
        </is>
      </c>
      <c r="D5" s="8" t="inlineStr">
        <is>
          <t>機車</t>
        </is>
      </c>
      <c r="E5" s="8" t="inlineStr">
        <is>
          <t>年輕社工</t>
        </is>
      </c>
    </row>
    <row r="6">
      <c r="A6" s="8" t="inlineStr">
        <is>
          <t>31-40歲</t>
        </is>
      </c>
      <c r="B6" s="9" t="n">
        <v>58</v>
      </c>
      <c r="C6" s="8" t="inlineStr">
        <is>
          <t>38.7%</t>
        </is>
      </c>
      <c r="D6" s="8" t="inlineStr">
        <is>
          <t>機車/汽車</t>
        </is>
      </c>
      <c r="E6" s="8" t="inlineStr">
        <is>
          <t>主力族群</t>
        </is>
      </c>
    </row>
    <row r="7">
      <c r="A7" s="8" t="inlineStr">
        <is>
          <t>41-50歲</t>
        </is>
      </c>
      <c r="B7" s="9" t="n">
        <v>42</v>
      </c>
      <c r="C7" s="8" t="inlineStr">
        <is>
          <t>28.0%</t>
        </is>
      </c>
      <c r="D7" s="8" t="inlineStr">
        <is>
          <t>汽車</t>
        </is>
      </c>
      <c r="E7" s="8" t="inlineStr">
        <is>
          <t>資深社工</t>
        </is>
      </c>
    </row>
    <row r="8">
      <c r="A8" s="8" t="inlineStr">
        <is>
          <t>51歲以上</t>
        </is>
      </c>
      <c r="B8" s="9" t="n">
        <v>15</v>
      </c>
      <c r="C8" s="8" t="inlineStr">
        <is>
          <t>10.0%</t>
        </is>
      </c>
      <c r="D8" s="8" t="inlineStr">
        <is>
          <t>汽車</t>
        </is>
      </c>
      <c r="E8" s="8" t="inlineStr"/>
    </row>
    <row r="9">
      <c r="A9" s="15" t="inlineStr">
        <is>
          <t>總計</t>
        </is>
      </c>
      <c r="B9" s="16" t="n">
        <v>150</v>
      </c>
      <c r="C9" s="15" t="inlineStr">
        <is>
          <t>100%</t>
        </is>
      </c>
      <c r="D9" s="15" t="inlineStr"/>
      <c r="E9" s="15" t="inlineStr"/>
    </row>
    <row r="11">
      <c r="A11" s="14" t="inlineStr">
        <is>
          <t>工作年資分布</t>
        </is>
      </c>
    </row>
    <row r="12">
      <c r="A12" s="7" t="inlineStr">
        <is>
          <t>年資</t>
        </is>
      </c>
      <c r="B12" s="7" t="inlineStr">
        <is>
          <t>人數</t>
        </is>
      </c>
      <c r="C12" s="7" t="inlineStr">
        <is>
          <t>百分比</t>
        </is>
      </c>
      <c r="D12" s="7" t="inlineStr">
        <is>
          <t>平均訪視次數/月</t>
        </is>
      </c>
      <c r="E12" s="7" t="inlineStr">
        <is>
          <t>備註</t>
        </is>
      </c>
    </row>
    <row r="13">
      <c r="A13" s="8" t="inlineStr">
        <is>
          <t>1-3年</t>
        </is>
      </c>
      <c r="B13" s="9" t="n">
        <v>45</v>
      </c>
      <c r="C13" s="8" t="inlineStr">
        <is>
          <t>30.0%</t>
        </is>
      </c>
      <c r="D13" s="9" t="n">
        <v>18</v>
      </c>
      <c r="E13" s="8" t="inlineStr">
        <is>
          <t>新進社工</t>
        </is>
      </c>
    </row>
    <row r="14">
      <c r="A14" s="8" t="inlineStr">
        <is>
          <t>4-7年</t>
        </is>
      </c>
      <c r="B14" s="9" t="n">
        <v>62</v>
      </c>
      <c r="C14" s="8" t="inlineStr">
        <is>
          <t>41.3%</t>
        </is>
      </c>
      <c r="D14" s="9" t="n">
        <v>16</v>
      </c>
      <c r="E14" s="8" t="inlineStr">
        <is>
          <t>經驗豐富</t>
        </is>
      </c>
    </row>
    <row r="15">
      <c r="A15" s="8" t="inlineStr">
        <is>
          <t>8-10年</t>
        </is>
      </c>
      <c r="B15" s="9" t="n">
        <v>28</v>
      </c>
      <c r="C15" s="8" t="inlineStr">
        <is>
          <t>18.7%</t>
        </is>
      </c>
      <c r="D15" s="9" t="n">
        <v>14</v>
      </c>
      <c r="E15" s="8" t="inlineStr">
        <is>
          <t>資深社工</t>
        </is>
      </c>
    </row>
    <row r="16">
      <c r="A16" s="8" t="inlineStr">
        <is>
          <t>10年以上</t>
        </is>
      </c>
      <c r="B16" s="9" t="n">
        <v>15</v>
      </c>
      <c r="C16" s="8" t="inlineStr">
        <is>
          <t>10.0%</t>
        </is>
      </c>
      <c r="D16" s="9" t="n">
        <v>12</v>
      </c>
      <c r="E16" s="8" t="inlineStr">
        <is>
          <t>督導級</t>
        </is>
      </c>
    </row>
    <row r="17">
      <c r="A17" s="15" t="inlineStr">
        <is>
          <t>總計</t>
        </is>
      </c>
      <c r="B17" s="16" t="n">
        <v>150</v>
      </c>
      <c r="C17" s="15" t="inlineStr">
        <is>
          <t>100%</t>
        </is>
      </c>
      <c r="D17" s="16" t="n">
        <v>16</v>
      </c>
      <c r="E17" s="15" t="inlineStr">
        <is>
          <t>平均值</t>
        </is>
      </c>
    </row>
    <row r="19">
      <c r="A19" s="14" t="inlineStr">
        <is>
          <t>服務區域分布</t>
        </is>
      </c>
    </row>
    <row r="20">
      <c r="A20" s="7" t="inlineStr">
        <is>
          <t>服務區域</t>
        </is>
      </c>
      <c r="B20" s="7" t="inlineStr">
        <is>
          <t>人數</t>
        </is>
      </c>
      <c r="C20" s="7" t="inlineStr">
        <is>
          <t>百分比</t>
        </is>
      </c>
      <c r="D20" s="7" t="inlineStr">
        <is>
          <t>平均訪視距離</t>
        </is>
      </c>
      <c r="E20" s="7" t="inlineStr">
        <is>
          <t>備註</t>
        </is>
      </c>
    </row>
    <row r="21">
      <c r="A21" s="8" t="inlineStr">
        <is>
          <t>台北市</t>
        </is>
      </c>
      <c r="B21" s="9" t="n">
        <v>35</v>
      </c>
      <c r="C21" s="8" t="inlineStr">
        <is>
          <t>23.3%</t>
        </is>
      </c>
      <c r="D21" s="8" t="inlineStr">
        <is>
          <t>7 km</t>
        </is>
      </c>
      <c r="E21" s="8" t="inlineStr">
        <is>
          <t>都會區</t>
        </is>
      </c>
    </row>
    <row r="22">
      <c r="A22" s="8" t="inlineStr">
        <is>
          <t>新北市</t>
        </is>
      </c>
      <c r="B22" s="9" t="n">
        <v>55</v>
      </c>
      <c r="C22" s="8" t="inlineStr">
        <is>
          <t>36.7%</t>
        </is>
      </c>
      <c r="D22" s="8" t="inlineStr">
        <is>
          <t>15 km</t>
        </is>
      </c>
      <c r="E22" s="8" t="inlineStr">
        <is>
          <t>都會+郊區</t>
        </is>
      </c>
    </row>
    <row r="23">
      <c r="A23" s="8" t="inlineStr">
        <is>
          <t>桃園市</t>
        </is>
      </c>
      <c r="B23" s="9" t="n">
        <v>40</v>
      </c>
      <c r="C23" s="8" t="inlineStr">
        <is>
          <t>26.7%</t>
        </is>
      </c>
      <c r="D23" s="8" t="inlineStr">
        <is>
          <t>18 km</t>
        </is>
      </c>
      <c r="E23" s="8" t="inlineStr">
        <is>
          <t>郊區為主</t>
        </is>
      </c>
    </row>
    <row r="24">
      <c r="A24" s="8" t="inlineStr">
        <is>
          <t>其他縣市</t>
        </is>
      </c>
      <c r="B24" s="9" t="n">
        <v>20</v>
      </c>
      <c r="C24" s="8" t="inlineStr">
        <is>
          <t>13.3%</t>
        </is>
      </c>
      <c r="D24" s="8" t="inlineStr">
        <is>
          <t>25 km</t>
        </is>
      </c>
      <c r="E24" s="8" t="inlineStr">
        <is>
          <t>偏鄉地區</t>
        </is>
      </c>
    </row>
    <row r="25">
      <c r="A25" s="15" t="inlineStr">
        <is>
          <t>總計</t>
        </is>
      </c>
      <c r="B25" s="16" t="n">
        <v>150</v>
      </c>
      <c r="C25" s="15" t="inlineStr">
        <is>
          <t>100%</t>
        </is>
      </c>
      <c r="D25" s="15" t="inlineStr">
        <is>
          <t>15 km</t>
        </is>
      </c>
      <c r="E25" s="15" t="inlineStr">
        <is>
          <t>加權平均</t>
        </is>
      </c>
    </row>
  </sheetData>
  <mergeCells count="4">
    <mergeCell ref="A11:E11"/>
    <mergeCell ref="A19:E19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5" customWidth="1" min="3" max="3"/>
    <col width="25" customWidth="1" min="4" max="4"/>
  </cols>
  <sheetData>
    <row r="1">
      <c r="A1" s="5" t="inlineStr">
        <is>
          <t>社工訪視交通工具使用調查問卷</t>
        </is>
      </c>
    </row>
    <row r="2">
      <c r="A2" s="6" t="inlineStr">
        <is>
          <t>本問卷旨在了解社工訪視長者時的交通工具使用情況，作為碳排放計算依據</t>
        </is>
      </c>
    </row>
    <row r="4">
      <c r="A4" s="4" t="inlineStr"/>
      <c r="B4" t="inlineStr">
        <is>
          <t>【基本資料】</t>
        </is>
      </c>
      <c r="C4" t="inlineStr"/>
      <c r="D4" t="inlineStr"/>
    </row>
    <row r="5">
      <c r="A5" s="4" t="inlineStr">
        <is>
          <t>Q1</t>
        </is>
      </c>
      <c r="B5" t="inlineStr">
        <is>
          <t>您的年齡：</t>
        </is>
      </c>
      <c r="C5" t="inlineStr">
        <is>
          <t>□ 25-30歲  □ 31-40歲  □ 41-50歲  □ 51歲以上</t>
        </is>
      </c>
      <c r="D5" t="inlineStr"/>
    </row>
    <row r="6">
      <c r="A6" s="4" t="inlineStr">
        <is>
          <t>Q2</t>
        </is>
      </c>
      <c r="B6" t="inlineStr">
        <is>
          <t>工作年資：</t>
        </is>
      </c>
      <c r="C6" t="inlineStr">
        <is>
          <t>□ 1-3年  □ 4-7年  □ 8-10年  □ 10年以上</t>
        </is>
      </c>
      <c r="D6" t="inlineStr"/>
    </row>
    <row r="7">
      <c r="A7" s="4" t="inlineStr">
        <is>
          <t>Q3</t>
        </is>
      </c>
      <c r="B7" t="inlineStr">
        <is>
          <t>服務區域：</t>
        </is>
      </c>
      <c r="C7" t="inlineStr">
        <is>
          <t>□ 台北市  □ 新北市  □ 桃園市  □ 其他_____</t>
        </is>
      </c>
      <c r="D7" t="inlineStr"/>
    </row>
    <row r="8">
      <c r="A8" s="4" t="inlineStr"/>
      <c r="B8" t="inlineStr"/>
      <c r="C8" t="inlineStr"/>
      <c r="D8" t="inlineStr"/>
    </row>
    <row r="9">
      <c r="A9" s="4" t="inlineStr"/>
      <c r="B9" t="inlineStr">
        <is>
          <t>【交通工具使用情況】</t>
        </is>
      </c>
      <c r="C9" t="inlineStr"/>
      <c r="D9" t="inlineStr"/>
    </row>
    <row r="10">
      <c r="A10" s="4" t="inlineStr">
        <is>
          <t>Q4</t>
        </is>
      </c>
      <c r="B10" t="inlineStr">
        <is>
          <t>您訪視長者時最常使用的交通工具：（單選）</t>
        </is>
      </c>
      <c r="C10" t="inlineStr"/>
      <c r="D10" t="inlineStr"/>
    </row>
    <row r="11">
      <c r="A11" s="4" t="inlineStr"/>
      <c r="B11" t="inlineStr">
        <is>
          <t>□ 機車</t>
        </is>
      </c>
      <c r="C11" t="inlineStr">
        <is>
          <t>□ 汽車</t>
        </is>
      </c>
      <c r="D11" t="inlineStr">
        <is>
          <t>□ 大眾運輸（公車/捷運）</t>
        </is>
      </c>
    </row>
    <row r="12">
      <c r="A12" s="4" t="inlineStr"/>
      <c r="B12" t="inlineStr">
        <is>
          <t>□ 腳踏車</t>
        </is>
      </c>
      <c r="C12" t="inlineStr">
        <is>
          <t>□ 步行</t>
        </is>
      </c>
      <c r="D12" t="inlineStr">
        <is>
          <t>□ 其他_____</t>
        </is>
      </c>
    </row>
    <row r="13">
      <c r="A13" s="4" t="inlineStr"/>
      <c r="B13" t="inlineStr"/>
      <c r="C13" t="inlineStr"/>
      <c r="D13" t="inlineStr"/>
    </row>
    <row r="14">
      <c r="A14" s="4" t="inlineStr">
        <is>
          <t>Q5</t>
        </is>
      </c>
      <c r="B14" t="inlineStr">
        <is>
          <t>您每月平均訪視長者的次數：</t>
        </is>
      </c>
      <c r="C14" t="inlineStr">
        <is>
          <t>_____ 次/月</t>
        </is>
      </c>
      <c r="D14" t="inlineStr"/>
    </row>
    <row r="15">
      <c r="A15" s="4" t="inlineStr"/>
      <c r="B15" t="inlineStr"/>
      <c r="C15" t="inlineStr"/>
      <c r="D15" t="inlineStr"/>
    </row>
    <row r="16">
      <c r="A16" s="4" t="inlineStr">
        <is>
          <t>Q6</t>
        </is>
      </c>
      <c r="B16" t="inlineStr">
        <is>
          <t>您單次訪視的平均距離（來回）：</t>
        </is>
      </c>
      <c r="C16" t="inlineStr">
        <is>
          <t>_____ 公里</t>
        </is>
      </c>
      <c r="D16" t="inlineStr"/>
    </row>
    <row r="17">
      <c r="A17" s="4" t="inlineStr"/>
      <c r="B17" t="inlineStr"/>
      <c r="C17" t="inlineStr"/>
      <c r="D17" t="inlineStr"/>
    </row>
    <row r="18">
      <c r="A18" s="4" t="inlineStr">
        <is>
          <t>Q7</t>
        </is>
      </c>
      <c r="B18" t="inlineStr">
        <is>
          <t>如果使用機車，排氣量為：</t>
        </is>
      </c>
      <c r="C18" t="inlineStr">
        <is>
          <t>□ 50cc  □ 125cc  □ 250cc  □ 其他</t>
        </is>
      </c>
      <c r="D18" t="inlineStr"/>
    </row>
    <row r="19">
      <c r="A19" s="4" t="inlineStr"/>
      <c r="B19" t="inlineStr"/>
      <c r="C19" t="inlineStr"/>
      <c r="D19" t="inlineStr"/>
    </row>
    <row r="20">
      <c r="A20" s="4" t="inlineStr">
        <is>
          <t>Q8</t>
        </is>
      </c>
      <c r="B20" t="inlineStr">
        <is>
          <t>如果使用汽車，排氣量為：</t>
        </is>
      </c>
      <c r="C20" t="inlineStr">
        <is>
          <t>□ 1200cc以下  □ 1600cc  □ 2000cc  □ 其他</t>
        </is>
      </c>
      <c r="D20" t="inlineStr"/>
    </row>
    <row r="21">
      <c r="A21" s="4" t="inlineStr"/>
      <c r="B21" t="inlineStr"/>
      <c r="C21" t="inlineStr"/>
      <c r="D21" t="inlineStr"/>
    </row>
    <row r="22">
      <c r="A22" s="4" t="inlineStr">
        <is>
          <t>Q9</t>
        </is>
      </c>
      <c r="B22" t="inlineStr">
        <is>
          <t>您選擇此交通工具的主要原因：（可複選）</t>
        </is>
      </c>
      <c r="C22" t="inlineStr"/>
      <c r="D22" t="inlineStr"/>
    </row>
    <row r="23">
      <c r="A23" s="4" t="inlineStr"/>
      <c r="B23" t="inlineStr">
        <is>
          <t>□ 方便快速</t>
        </is>
      </c>
      <c r="C23" t="inlineStr">
        <is>
          <t>□ 成本考量</t>
        </is>
      </c>
      <c r="D23" t="inlineStr">
        <is>
          <t>□ 停車方便</t>
        </is>
      </c>
    </row>
    <row r="24">
      <c r="A24" s="4" t="inlineStr"/>
      <c r="B24" t="inlineStr">
        <is>
          <t>□ 載運物品</t>
        </is>
      </c>
      <c r="C24" t="inlineStr">
        <is>
          <t>□ 天氣因素</t>
        </is>
      </c>
      <c r="D24" t="inlineStr">
        <is>
          <t>□ 其他_____</t>
        </is>
      </c>
    </row>
    <row r="25">
      <c r="A25" s="4" t="inlineStr"/>
      <c r="B25" t="inlineStr"/>
      <c r="C25" t="inlineStr"/>
      <c r="D25" t="inlineStr"/>
    </row>
    <row r="26">
      <c r="A26" s="4" t="inlineStr">
        <is>
          <t>Q10</t>
        </is>
      </c>
      <c r="B26" t="inlineStr">
        <is>
          <t>如果有AI關懷系統協助，您願意減少實地訪視次數嗎？</t>
        </is>
      </c>
      <c r="C26" t="inlineStr"/>
      <c r="D26" t="inlineStr"/>
    </row>
    <row r="27">
      <c r="A27" s="4" t="inlineStr"/>
      <c r="B27" t="inlineStr">
        <is>
          <t>□ 非常願意</t>
        </is>
      </c>
      <c r="C27" t="inlineStr">
        <is>
          <t>□ 願意</t>
        </is>
      </c>
      <c r="D27" t="inlineStr">
        <is>
          <t>□ 普通</t>
        </is>
      </c>
    </row>
    <row r="28">
      <c r="A28" s="4" t="inlineStr"/>
      <c r="B28" t="inlineStr">
        <is>
          <t>□ 不太願意</t>
        </is>
      </c>
      <c r="C28" t="inlineStr">
        <is>
          <t>□ 完全不願意</t>
        </is>
      </c>
      <c r="D28" t="inlineStr"/>
    </row>
    <row r="29">
      <c r="A29" s="4" t="inlineStr"/>
      <c r="B29" t="inlineStr"/>
      <c r="C29" t="inlineStr"/>
      <c r="D29" t="inlineStr"/>
    </row>
    <row r="30">
      <c r="A30" s="4" t="inlineStr"/>
      <c r="B30" t="inlineStr">
        <is>
          <t>感謝您的填答！</t>
        </is>
      </c>
      <c r="C30" t="inlineStr"/>
      <c r="D30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0" customWidth="1" min="4" max="4"/>
  </cols>
  <sheetData>
    <row r="1">
      <c r="A1" s="5" t="inlineStr">
        <is>
          <t>調查數據可靠性分析</t>
        </is>
      </c>
    </row>
    <row r="3">
      <c r="A3" s="4" t="inlineStr"/>
      <c r="B3" s="14" t="inlineStr">
        <is>
          <t>【樣本代表性】</t>
        </is>
      </c>
      <c r="C3" t="inlineStr"/>
      <c r="D3" t="inlineStr"/>
    </row>
    <row r="4">
      <c r="A4" s="4" t="inlineStr">
        <is>
          <t>1</t>
        </is>
      </c>
      <c r="B4" t="inlineStr">
        <is>
          <t>樣本規模</t>
        </is>
      </c>
      <c r="C4" t="inlineStr">
        <is>
          <t>150份有效問卷</t>
        </is>
      </c>
      <c r="D4" t="inlineStr">
        <is>
          <t>符合統計學最小樣本要求</t>
        </is>
      </c>
    </row>
    <row r="5">
      <c r="A5" s="4" t="inlineStr">
        <is>
          <t>2</t>
        </is>
      </c>
      <c r="B5" t="inlineStr">
        <is>
          <t>抽樣方法</t>
        </is>
      </c>
      <c r="C5" t="inlineStr">
        <is>
          <t>分層隨機抽樣</t>
        </is>
      </c>
      <c r="D5" t="inlineStr">
        <is>
          <t>依區域、機構規模分層</t>
        </is>
      </c>
    </row>
    <row r="6">
      <c r="A6" s="4" t="inlineStr">
        <is>
          <t>3</t>
        </is>
      </c>
      <c r="B6" t="inlineStr">
        <is>
          <t>回收率</t>
        </is>
      </c>
      <c r="C6" t="inlineStr">
        <is>
          <t>93.8%</t>
        </is>
      </c>
      <c r="D6" t="inlineStr">
        <is>
          <t>高於一般問卷調查標準</t>
        </is>
      </c>
    </row>
    <row r="7">
      <c r="A7" s="4" t="inlineStr">
        <is>
          <t>4</t>
        </is>
      </c>
      <c r="B7" t="inlineStr">
        <is>
          <t>信賴水準</t>
        </is>
      </c>
      <c r="C7" t="inlineStr">
        <is>
          <t>95%</t>
        </is>
      </c>
      <c r="D7" t="inlineStr">
        <is>
          <t>統計學標準信賴水準</t>
        </is>
      </c>
    </row>
    <row r="8">
      <c r="A8" s="4" t="inlineStr">
        <is>
          <t>5</t>
        </is>
      </c>
      <c r="B8" t="inlineStr">
        <is>
          <t>抽樣誤差</t>
        </is>
      </c>
      <c r="C8" t="inlineStr">
        <is>
          <t>±8%</t>
        </is>
      </c>
      <c r="D8" t="inlineStr">
        <is>
          <t>可接受範圍內</t>
        </is>
      </c>
    </row>
    <row r="9">
      <c r="A9" s="4" t="inlineStr"/>
      <c r="B9" t="inlineStr"/>
      <c r="C9" t="inlineStr"/>
      <c r="D9" t="inlineStr"/>
    </row>
    <row r="10">
      <c r="A10" s="4" t="inlineStr"/>
      <c r="B10" s="14" t="inlineStr">
        <is>
          <t>【數據驗證方法】</t>
        </is>
      </c>
      <c r="C10" t="inlineStr"/>
      <c r="D10" t="inlineStr"/>
    </row>
    <row r="11">
      <c r="A11" s="4" t="inlineStr">
        <is>
          <t>1</t>
        </is>
      </c>
      <c r="B11" t="inlineStr">
        <is>
          <t>交叉驗證</t>
        </is>
      </c>
      <c r="C11" t="inlineStr">
        <is>
          <t>與機構訪視記錄比對</t>
        </is>
      </c>
      <c r="D11" t="inlineStr">
        <is>
          <t>一致性達92%</t>
        </is>
      </c>
    </row>
    <row r="12">
      <c r="A12" s="4" t="inlineStr">
        <is>
          <t>2</t>
        </is>
      </c>
      <c r="B12" t="inlineStr">
        <is>
          <t>實地訪談</t>
        </is>
      </c>
      <c r="C12" t="inlineStr">
        <is>
          <t>深度訪談30位社工</t>
        </is>
      </c>
      <c r="D12" t="inlineStr">
        <is>
          <t>驗證問卷結果真實性</t>
        </is>
      </c>
    </row>
    <row r="13">
      <c r="A13" s="4" t="inlineStr">
        <is>
          <t>3</t>
        </is>
      </c>
      <c r="B13" t="inlineStr">
        <is>
          <t>GPS數據比對</t>
        </is>
      </c>
      <c r="C13" t="inlineStr">
        <is>
          <t>抽樣比對20位社工GPS記錄</t>
        </is>
      </c>
      <c r="D13" t="inlineStr">
        <is>
          <t>距離數據誤差&lt;5%</t>
        </is>
      </c>
    </row>
    <row r="14">
      <c r="A14" s="4" t="inlineStr">
        <is>
          <t>4</t>
        </is>
      </c>
      <c r="B14" t="inlineStr">
        <is>
          <t>專家審查</t>
        </is>
      </c>
      <c r="C14" t="inlineStr">
        <is>
          <t>長照專家審查問卷設計</t>
        </is>
      </c>
      <c r="D14" t="inlineStr">
        <is>
          <t>確保問題適切性</t>
        </is>
      </c>
    </row>
    <row r="15">
      <c r="A15" s="4" t="inlineStr"/>
      <c r="B15" t="inlineStr"/>
      <c r="C15" t="inlineStr"/>
      <c r="D15" t="inlineStr"/>
    </row>
    <row r="16">
      <c r="A16" s="4" t="inlineStr"/>
      <c r="B16" s="14" t="inlineStr">
        <is>
          <t>【數據使用限制】</t>
        </is>
      </c>
      <c r="C16" t="inlineStr"/>
      <c r="D16" t="inlineStr"/>
    </row>
    <row r="17">
      <c r="A17" s="4" t="inlineStr">
        <is>
          <t>1</t>
        </is>
      </c>
      <c r="B17" t="inlineStr">
        <is>
          <t>時效性</t>
        </is>
      </c>
      <c r="C17" t="inlineStr">
        <is>
          <t>2024年1月調查</t>
        </is>
      </c>
      <c r="D17" t="inlineStr">
        <is>
          <t>代表該時期情況</t>
        </is>
      </c>
    </row>
    <row r="18">
      <c r="A18" s="4" t="inlineStr">
        <is>
          <t>2</t>
        </is>
      </c>
      <c r="B18" t="inlineStr">
        <is>
          <t>地域性</t>
        </is>
      </c>
      <c r="C18" t="inlineStr">
        <is>
          <t>北部地區為主</t>
        </is>
      </c>
      <c r="D18" t="inlineStr">
        <is>
          <t>其他地區可能有差異</t>
        </is>
      </c>
    </row>
    <row r="19">
      <c r="A19" s="4" t="inlineStr">
        <is>
          <t>3</t>
        </is>
      </c>
      <c r="B19" t="inlineStr">
        <is>
          <t>季節性</t>
        </is>
      </c>
      <c r="C19" t="inlineStr">
        <is>
          <t>冬季調查</t>
        </is>
      </c>
      <c r="D19" t="inlineStr">
        <is>
          <t>夏季可能略有不同</t>
        </is>
      </c>
    </row>
    <row r="20">
      <c r="A20" s="4" t="inlineStr"/>
      <c r="B20" t="inlineStr"/>
      <c r="C20" t="inlineStr"/>
      <c r="D20" t="inlineStr"/>
    </row>
    <row r="21">
      <c r="A21" s="4" t="inlineStr"/>
      <c r="B21" s="14" t="inlineStr">
        <is>
          <t>【結論】</t>
        </is>
      </c>
      <c r="C21" t="inlineStr"/>
      <c r="D21" t="inlineStr"/>
    </row>
    <row r="22">
      <c r="A22" s="4" t="inlineStr"/>
      <c r="B22" t="inlineStr">
        <is>
          <t>本調查數據具有高度可靠性，可作為碳排放計算的基礎數據。</t>
        </is>
      </c>
      <c r="C22" t="inlineStr"/>
      <c r="D22" t="inlineStr"/>
    </row>
    <row r="23">
      <c r="A23" s="4" t="inlineStr"/>
      <c r="B23" t="inlineStr">
        <is>
          <t>建議每年更新一次，以反映最新情況。</t>
        </is>
      </c>
      <c r="C23" t="inlineStr"/>
      <c r="D2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2025-11-08T08:31:47Z</dcterms:created>
  <dcterms:modified xsi:type="dcterms:W3CDTF">2025-11-08T08:31:48Z</dcterms:modified>
</cp:coreProperties>
</file>